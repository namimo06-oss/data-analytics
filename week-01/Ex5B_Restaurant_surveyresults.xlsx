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1\"/>
    </mc:Choice>
  </mc:AlternateContent>
  <xr:revisionPtr revIDLastSave="0" documentId="13_ncr:1_{43BAC31F-C152-4673-8785-CC74D168DC6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3" sheetId="3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M8" i="1"/>
  <c r="K8" i="1"/>
  <c r="J8" i="1"/>
  <c r="I8" i="1"/>
  <c r="H8" i="1"/>
  <c r="L8" i="1"/>
  <c r="P8" i="1"/>
  <c r="F8" i="1"/>
  <c r="G8" i="1"/>
  <c r="D3" i="1"/>
  <c r="D4" i="1"/>
  <c r="D5" i="1"/>
  <c r="D6" i="1"/>
  <c r="D7" i="1"/>
  <c r="D2" i="1"/>
  <c r="D8" i="1" l="1"/>
</calcChain>
</file>

<file path=xl/sharedStrings.xml><?xml version="1.0" encoding="utf-8"?>
<sst xmlns="http://schemas.openxmlformats.org/spreadsheetml/2006/main" count="117" uniqueCount="49">
  <si>
    <t>ID</t>
  </si>
  <si>
    <t>Start time</t>
  </si>
  <si>
    <t>Completion time</t>
  </si>
  <si>
    <t>Email</t>
  </si>
  <si>
    <t>How would you rate your overall experience today?</t>
  </si>
  <si>
    <t>Food Quality</t>
  </si>
  <si>
    <t>Menu CLarity</t>
  </si>
  <si>
    <t>Cleanliness</t>
  </si>
  <si>
    <t>Ambiance</t>
  </si>
  <si>
    <t>Service</t>
  </si>
  <si>
    <t>Noise Level</t>
  </si>
  <si>
    <t>Comfort of seating</t>
  </si>
  <si>
    <t>Any suggestions for improving your experience?</t>
  </si>
  <si>
    <t>How often do you visit Cafe Delight ?</t>
  </si>
  <si>
    <t>Would you be interested in joining a customer rewards program?</t>
  </si>
  <si>
    <t>Which reward would you like the most?</t>
  </si>
  <si>
    <t>How important is it that rewards are easy to redeem?</t>
  </si>
  <si>
    <t>Thank you for sharing your time with us. Please leave your email address below if you'd like to receive updates and promotions from us!</t>
  </si>
  <si>
    <t>anonymous</t>
  </si>
  <si>
    <t>Good (4 stars)</t>
  </si>
  <si>
    <t>Satisifed</t>
  </si>
  <si>
    <t>Extremely satisfied</t>
  </si>
  <si>
    <t>Dissatisfied </t>
  </si>
  <si>
    <t>seating can be a little more comfortable.</t>
  </si>
  <si>
    <t>Weekly</t>
  </si>
  <si>
    <t>Yes</t>
  </si>
  <si>
    <t>Discounts on meals</t>
  </si>
  <si>
    <t>Very Important</t>
  </si>
  <si>
    <t xml:space="preserve">the service workers were super rude and gave me a lot of attuite. </t>
  </si>
  <si>
    <t>Free drinks or appetizer</t>
  </si>
  <si>
    <t>Excellent (5 stars)</t>
  </si>
  <si>
    <t>Neutral</t>
  </si>
  <si>
    <t>Making a social media for any updates on new menu items</t>
  </si>
  <si>
    <t>ktran1@my.yearupunited.org</t>
  </si>
  <si>
    <t>Fair (2 stars)</t>
  </si>
  <si>
    <t>Extremely dissatisfied </t>
  </si>
  <si>
    <t>I found a hair in my food and once I confronted the server she threw the food at me! :(</t>
  </si>
  <si>
    <t>Monthly</t>
  </si>
  <si>
    <t>No</t>
  </si>
  <si>
    <t>I had an amazing experience here. Staff there were so nice and the cafe is extremely clean.</t>
  </si>
  <si>
    <t>First Time</t>
  </si>
  <si>
    <t>none</t>
  </si>
  <si>
    <t>Early access to new items/events</t>
  </si>
  <si>
    <t>nmi@gmail.com</t>
  </si>
  <si>
    <t>Time to complete</t>
  </si>
  <si>
    <t>Row Labels</t>
  </si>
  <si>
    <t>Grand Total</t>
  </si>
  <si>
    <t>Count of ID</t>
  </si>
  <si>
    <t>#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</si>
</sst>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4" formatCode="m/d/yy\ h:mm:ss"/>
    </dxf>
    <dxf>
      <numFmt numFmtId="164" formatCode="m/d/yy\ h: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[Ex5B_Restaurant_surveyresults.xlsx]Sheet3!PivotTable3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172769028871397"/>
              <c:y val="0.156996573344998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</a:t>
                </a:r>
                <a:r>
                  <a:rPr lang="en-US" baseline="0"/>
                  <a:t> </a:t>
                </a:r>
                <a:r>
                  <a:rPr lang="en-US"/>
                  <a:t>Extremely Dissatisfied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 Extremely Satisfied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92235345581802"/>
              <c:y val="-9.204870224555272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 Satisfied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78-492C-BA21-8AF5E7533CB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8-492C-BA21-8AF5E7533CB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978-492C-BA21-8AF5E7533CB7}"/>
              </c:ext>
            </c:extLst>
          </c:dPt>
          <c:dLbls>
            <c:dLbl>
              <c:idx val="0"/>
              <c:layout>
                <c:manualLayout>
                  <c:x val="-0.10172769028871397"/>
                  <c:y val="0.156996573344998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  <a:r>
                      <a:rPr lang="en-US" baseline="0"/>
                      <a:t> </a:t>
                    </a:r>
                    <a:r>
                      <a:rPr lang="en-US"/>
                      <a:t>Extremely Dissatisfied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978-492C-BA21-8AF5E7533C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 Extremely Satisfied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978-492C-BA21-8AF5E7533CB7}"/>
                </c:ext>
              </c:extLst>
            </c:dLbl>
            <c:dLbl>
              <c:idx val="2"/>
              <c:layout>
                <c:manualLayout>
                  <c:x val="0.16392235345581802"/>
                  <c:y val="-9.20487022455527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 Satisfied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978-492C-BA21-8AF5E7533C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Sheet3!$A$2:$A$5</c:f>
              <c:strCache>
                <c:ptCount val="3"/>
                <c:pt idx="0">
                  <c:v>Extremely dissatisfied </c:v>
                </c:pt>
                <c:pt idx="1">
                  <c:v>Extremely satisfied</c:v>
                </c:pt>
                <c:pt idx="2">
                  <c:v>Satisifed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8-492C-BA21-8AF5E7533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[Ex5B_Restaurant_surveyresults.xlsx]Sheet3!PivotTable4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How often do you visit Delight Cafe?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Sheet3!$A$10:$A$13</c:f>
              <c:strCache>
                <c:ptCount val="3"/>
                <c:pt idx="0">
                  <c:v>First Time</c:v>
                </c:pt>
                <c:pt idx="1">
                  <c:v>Monthly</c:v>
                </c:pt>
                <c:pt idx="2">
                  <c:v>Weekly</c:v>
                </c:pt>
              </c:strCache>
            </c:strRef>
          </c:cat>
          <c:val>
            <c:numRef>
              <c:f>Sheet3!$B$10:$B$13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D-4B90-BE4A-E802D028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95380160"/>
        <c:axId val="1695382080"/>
      </c:barChart>
      <c:valAx>
        <c:axId val="16953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80160"/>
        <c:crosses val="autoZero"/>
        <c:crossBetween val="between"/>
      </c:valAx>
      <c:catAx>
        <c:axId val="169538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8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0</xdr:rowOff>
    </xdr:from>
    <xdr:to>
      <xdr:col>11</xdr:col>
      <xdr:colOff>247650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F7E15-0D75-A436-FA01-7365D1AF5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231774</xdr:colOff>
      <xdr:row>15</xdr:row>
      <xdr:rowOff>101600</xdr:rowOff>
    </xdr:from>
    <xdr:to>
      <xdr:col>9</xdr:col>
      <xdr:colOff>400049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B2963-D2F7-DC95-5FF4-8D8B53F2E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22.628449537035" createdVersion="8" refreshedVersion="8" minRefreshableVersion="3" recordCount="6" xr:uid="{E5ED4C7B-AA31-4807-999A-FC50F8710D53}">
  <cacheSource type="worksheet">
    <worksheetSource name="Table1"/>
  </cacheSource>
  <cacheFields count="19">
    <cacheField name="ID" numFmtId="0">
      <sharedItems containsSemiMixedTypes="0" containsString="0" containsNumber="1" containsInteger="1" minValue="1" maxValue="6"/>
    </cacheField>
    <cacheField name="Start time" numFmtId="165">
      <sharedItems containsSemiMixedTypes="0" containsNonDate="0" containsDate="1" containsString="0" minDate="2026-04-09T08:34:23" maxDate="2026-04-09T14:22:10"/>
    </cacheField>
    <cacheField name="Completion time" numFmtId="165">
      <sharedItems containsSemiMixedTypes="0" containsNonDate="0" containsDate="1" containsString="0" minDate="2026-04-09T08:35:35" maxDate="2026-04-09T14:23:10"/>
    </cacheField>
    <cacheField name="Time to complete" numFmtId="45">
      <sharedItems containsSemiMixedTypes="0" containsNonDate="0" containsDate="1" containsString="0" minDate="1899-12-30T00:01:00" maxDate="1899-12-30T00:05:54"/>
    </cacheField>
    <cacheField name="Email" numFmtId="0">
      <sharedItems/>
    </cacheField>
    <cacheField name="How would you rate your overall experience today?" numFmtId="0">
      <sharedItems/>
    </cacheField>
    <cacheField name="Food Quality" numFmtId="0">
      <sharedItems count="3">
        <s v="Satisifed"/>
        <s v="Extremely dissatisfied "/>
        <s v="Extremely satisfied"/>
      </sharedItems>
    </cacheField>
    <cacheField name="Menu CLarity" numFmtId="0">
      <sharedItems count="3">
        <s v="Satisifed"/>
        <s v="Neutral"/>
        <s v="Extremely satisfied"/>
      </sharedItems>
    </cacheField>
    <cacheField name="Cleanliness" numFmtId="0">
      <sharedItems/>
    </cacheField>
    <cacheField name="Ambiance" numFmtId="0">
      <sharedItems/>
    </cacheField>
    <cacheField name="Service" numFmtId="0">
      <sharedItems/>
    </cacheField>
    <cacheField name="Noise Level" numFmtId="0">
      <sharedItems/>
    </cacheField>
    <cacheField name="Comfort of seating" numFmtId="0">
      <sharedItems/>
    </cacheField>
    <cacheField name="Any suggestions for improving your experience?" numFmtId="0">
      <sharedItems/>
    </cacheField>
    <cacheField name="How often do you visit Cafe Delight ?" numFmtId="0">
      <sharedItems count="3">
        <s v="Weekly"/>
        <s v="Monthly"/>
        <s v="First Time"/>
      </sharedItems>
    </cacheField>
    <cacheField name="Would you be interested in joining a customer rewards program?" numFmtId="0">
      <sharedItems/>
    </cacheField>
    <cacheField name="Which reward would you like the most?" numFmtId="0">
      <sharedItems/>
    </cacheField>
    <cacheField name="How important is it that rewards are easy to redeem?" numFmtId="0">
      <sharedItems/>
    </cacheField>
    <cacheField name="Thank you for sharing your time with us. Please leave your email address below if you'd like to receive updates and promotions from us!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09T08:34:23"/>
    <d v="2026-04-09T08:35:35"/>
    <d v="1899-12-30T00:01:12"/>
    <s v="anonymous"/>
    <s v="Good (4 stars)"/>
    <x v="0"/>
    <x v="0"/>
    <s v="Extremely satisfied"/>
    <s v="Extremely satisfied"/>
    <s v="Satisifed"/>
    <s v="Satisifed"/>
    <s v="Dissatisfied "/>
    <s v="seating can be a little more comfortable."/>
    <x v="0"/>
    <s v="Yes"/>
    <s v="Discounts on meals"/>
    <s v="Very Important"/>
    <m/>
  </r>
  <r>
    <n v="2"/>
    <d v="2026-04-09T08:34:41"/>
    <d v="2026-04-09T08:35:43"/>
    <d v="1899-12-30T00:01:02"/>
    <s v="anonymous"/>
    <s v="Good (4 stars)"/>
    <x v="0"/>
    <x v="0"/>
    <s v="Satisifed"/>
    <s v="Satisifed"/>
    <s v="Dissatisfied "/>
    <s v="Satisifed"/>
    <s v="Satisifed"/>
    <s v="the service workers were super rude and gave me a lot of attuite. "/>
    <x v="0"/>
    <s v="Yes"/>
    <s v="Free drinks or appetizer"/>
    <s v="Very Important"/>
    <m/>
  </r>
  <r>
    <n v="3"/>
    <d v="2026-04-09T08:34:23"/>
    <d v="2026-04-09T08:36:39"/>
    <d v="1899-12-30T00:02:16"/>
    <s v="anonymous"/>
    <s v="Excellent (5 stars)"/>
    <x v="0"/>
    <x v="0"/>
    <s v="Satisifed"/>
    <s v="Extremely satisfied"/>
    <s v="Satisifed"/>
    <s v="Neutral"/>
    <s v="Satisifed"/>
    <s v="Making a social media for any updates on new menu items"/>
    <x v="0"/>
    <s v="Yes"/>
    <s v="Free drinks or appetizer"/>
    <s v="Very Important"/>
    <s v="ktran1@my.yearupunited.org"/>
  </r>
  <r>
    <n v="4"/>
    <d v="2026-04-09T08:34:42"/>
    <d v="2026-04-09T08:36:45"/>
    <d v="1899-12-30T00:02:03"/>
    <s v="anonymous"/>
    <s v="Fair (2 stars)"/>
    <x v="1"/>
    <x v="1"/>
    <s v="Dissatisfied "/>
    <s v="Neutral"/>
    <s v="Extremely dissatisfied "/>
    <s v="Neutral"/>
    <s v="Satisifed"/>
    <s v="I found a hair in my food and once I confronted the server she threw the food at me! :("/>
    <x v="1"/>
    <s v="No"/>
    <s v="Discounts on meals"/>
    <s v="Very Important"/>
    <m/>
  </r>
  <r>
    <n v="5"/>
    <d v="2026-04-09T08:47:32"/>
    <d v="2026-04-09T08:53:26"/>
    <d v="1899-12-30T00:05:54"/>
    <s v="anonymous"/>
    <s v="Good (4 stars)"/>
    <x v="0"/>
    <x v="1"/>
    <s v="Extremely satisfied"/>
    <s v="Extremely satisfied"/>
    <s v="Satisifed"/>
    <s v="Satisifed"/>
    <s v="Satisifed"/>
    <s v="I had an amazing experience here. Staff there were so nice and the cafe is extremely clean."/>
    <x v="2"/>
    <s v="Yes"/>
    <s v="Free drinks or appetizer"/>
    <s v="Very Important"/>
    <m/>
  </r>
  <r>
    <n v="6"/>
    <d v="2026-04-09T14:22:10"/>
    <d v="2026-04-09T14:23:10"/>
    <d v="1899-12-30T00:01:00"/>
    <s v="anonymous"/>
    <s v="Excellent (5 stars)"/>
    <x v="2"/>
    <x v="2"/>
    <s v="Extremely satisfied"/>
    <s v="Extremely satisfied"/>
    <s v="Extremely satisfied"/>
    <s v="Extremely satisfied"/>
    <s v="Extremely satisfied"/>
    <s v="none"/>
    <x v="0"/>
    <s v="Yes"/>
    <s v="Early access to new items/events"/>
    <s v="Very Important"/>
    <s v="nmi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A92E7-0627-42D6-BB76-705C57483CE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:B13" firstHeaderRow="1" firstDataRow="1" firstDataCol="1"/>
  <pivotFields count="19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EE9A5-9241-4BE6-BE63-80ECAA2161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5" firstHeaderRow="1" firstDataRow="1" firstDataCol="1"/>
  <pivotFields count="19">
    <pivotField dataField="1" showAll="0"/>
    <pivotField numFmtId="165" showAll="0"/>
    <pivotField numFmtId="165" showAll="0"/>
    <pivotField numFmtId="45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of Customer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8" totalsRowCount="1">
  <autoFilter ref="A1:S7" xr:uid="{00000000-0009-0000-0100-000001000000}"/>
  <tableColumns count="19">
    <tableColumn id="1" xr3:uid="{00000000-0010-0000-0000-000001000000}" name="ID" dataDxfId="37" totalsRowDxfId="36"/>
    <tableColumn id="2" xr3:uid="{00000000-0010-0000-0000-000002000000}" name="Start time" dataDxfId="35" totalsRowDxfId="34"/>
    <tableColumn id="3" xr3:uid="{00000000-0010-0000-0000-000003000000}" name="Completion time" dataDxfId="33" totalsRowDxfId="32"/>
    <tableColumn id="21" xr3:uid="{E742B3DB-7C49-428E-999D-406CB0F47EB6}" name="Time to complete" totalsRowFunction="custom" dataDxfId="31" totalsRowDxfId="30">
      <calculatedColumnFormula>C2-B2</calculatedColumnFormula>
      <totalsRowFormula>AVERAGE(D2:D7)</totalsRowFormula>
    </tableColumn>
    <tableColumn id="4" xr3:uid="{00000000-0010-0000-0000-000004000000}" name="Email" dataDxfId="29" totalsRowDxfId="28"/>
    <tableColumn id="7" xr3:uid="{00000000-0010-0000-0000-000007000000}" name="How would you rate your overall experience today?" totalsRowFunction="custom" dataDxfId="27" totalsRowDxfId="26">
      <totalsRowFormula>COUNTIF(F2:F7, "Good (4 stars)")</totalsRowFormula>
    </tableColumn>
    <tableColumn id="8" xr3:uid="{00000000-0010-0000-0000-000008000000}" name="Food Quality" totalsRowFunction="custom" dataDxfId="25" totalsRowDxfId="24">
      <totalsRowFormula>COUNTIF(G2:G7,"Satisifed")</totalsRowFormula>
    </tableColumn>
    <tableColumn id="9" xr3:uid="{00000000-0010-0000-0000-000009000000}" name="Menu CLarity" totalsRowFunction="custom" dataDxfId="23" totalsRowDxfId="22">
      <totalsRowFormula>SUM(COUNTIF(Table1[Menu CLarity],"Satisifed"))</totalsRowFormula>
    </tableColumn>
    <tableColumn id="10" xr3:uid="{00000000-0010-0000-0000-00000A000000}" name="Cleanliness" totalsRowFunction="custom" dataDxfId="21" totalsRowDxfId="20">
      <totalsRowFormula>SUM(COUNTIF(Table1[Cleanliness],"Extremely satisfied"))</totalsRowFormula>
    </tableColumn>
    <tableColumn id="11" xr3:uid="{00000000-0010-0000-0000-00000B000000}" name="Ambiance" totalsRowFunction="custom" dataDxfId="19" totalsRowDxfId="18">
      <totalsRowFormula>AVERAGE(_xlfn.SWITCH("Extremely satisfied",4,"Satisifed",3,"Neutral","0"))</totalsRowFormula>
    </tableColumn>
    <tableColumn id="12" xr3:uid="{00000000-0010-0000-0000-00000C000000}" name="Service" totalsRowFunction="custom" dataDxfId="17" totalsRowDxfId="16">
      <totalsRowFormula>COUNTIF(K2:K7,"Satisifed")</totalsRowFormula>
    </tableColumn>
    <tableColumn id="13" xr3:uid="{00000000-0010-0000-0000-00000D000000}" name="Noise Level" totalsRowFunction="custom" dataDxfId="15" totalsRowDxfId="14">
      <totalsRowFormula>AVERAGE(_xlfn.SWITCH("satisified",0,"Dissatisfied",1,"Neutral",2,"Satisfied",3,"Extremely satisfies","4"))</totalsRowFormula>
    </tableColumn>
    <tableColumn id="14" xr3:uid="{00000000-0010-0000-0000-00000E000000}" name="Comfort of seating" totalsRowFunction="custom" dataDxfId="13" totalsRowDxfId="12">
      <totalsRowFormula>SUM(COUNTIF(Table1[Comfort of seating],"Dissatisfied"),COUNTIF(Table1[Comfort of seating],"Satisifed"))</totalsRowFormula>
    </tableColumn>
    <tableColumn id="15" xr3:uid="{00000000-0010-0000-0000-00000F000000}" name="Any suggestions for improving your experience?" dataDxfId="11" totalsRowDxfId="10"/>
    <tableColumn id="16" xr3:uid="{00000000-0010-0000-0000-000010000000}" name="How often do you visit Cafe Delight ?" totalsRowFunction="custom" dataDxfId="9" totalsRowDxfId="8">
      <totalsRowFormula>SUM(COUNTIF(Table1[How often do you visit Cafe Delight ?],"Weekly"),COUNTIF(Table1[How often do you visit Cafe Delight ?],"First Time"))</totalsRowFormula>
    </tableColumn>
    <tableColumn id="17" xr3:uid="{00000000-0010-0000-0000-000011000000}" name="Would you be interested in joining a customer rewards program?" totalsRowFunction="custom" dataDxfId="7" totalsRowDxfId="6">
      <totalsRowFormula>SUM(COUNTIF(Table1[Would you be interested in joining a customer rewards program?],"Yes"),COUNTIF(Table1[Would you be interested in joining a customer rewards program?],"No"))</totalsRowFormula>
    </tableColumn>
    <tableColumn id="18" xr3:uid="{00000000-0010-0000-0000-000012000000}" name="Which reward would you like the most?" dataDxfId="5" totalsRowDxfId="4"/>
    <tableColumn id="19" xr3:uid="{00000000-0010-0000-0000-000013000000}" name="How important is it that rewards are easy to redeem?" dataDxfId="3" totalsRowDxfId="2"/>
    <tableColumn id="20" xr3:uid="{00000000-0010-0000-0000-000014000000}" name="Thank you for sharing your time with us. Please leave your email address below if you'd like to receive updates and promotions from us!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A18B-9949-428B-A89C-A31B93E31ADF}">
  <dimension ref="A1:B13"/>
  <sheetViews>
    <sheetView workbookViewId="0">
      <selection activeCell="C2" sqref="C2"/>
    </sheetView>
  </sheetViews>
  <sheetFormatPr defaultRowHeight="14.5" x14ac:dyDescent="0.35"/>
  <cols>
    <col min="1" max="1" width="12.36328125" bestFit="1" customWidth="1"/>
    <col min="2" max="2" width="10.36328125" bestFit="1" customWidth="1"/>
  </cols>
  <sheetData>
    <row r="1" spans="1:2" x14ac:dyDescent="0.35">
      <c r="A1" s="4" t="s">
        <v>45</v>
      </c>
      <c r="B1" t="s">
        <v>48</v>
      </c>
    </row>
    <row r="2" spans="1:2" x14ac:dyDescent="0.35">
      <c r="A2" s="5" t="s">
        <v>35</v>
      </c>
      <c r="B2">
        <v>1</v>
      </c>
    </row>
    <row r="3" spans="1:2" x14ac:dyDescent="0.35">
      <c r="A3" s="5" t="s">
        <v>21</v>
      </c>
      <c r="B3">
        <v>1</v>
      </c>
    </row>
    <row r="4" spans="1:2" x14ac:dyDescent="0.35">
      <c r="A4" s="5" t="s">
        <v>20</v>
      </c>
      <c r="B4">
        <v>4</v>
      </c>
    </row>
    <row r="5" spans="1:2" x14ac:dyDescent="0.35">
      <c r="A5" s="5" t="s">
        <v>46</v>
      </c>
      <c r="B5">
        <v>6</v>
      </c>
    </row>
    <row r="9" spans="1:2" x14ac:dyDescent="0.35">
      <c r="A9" s="4" t="s">
        <v>45</v>
      </c>
      <c r="B9" t="s">
        <v>47</v>
      </c>
    </row>
    <row r="10" spans="1:2" x14ac:dyDescent="0.35">
      <c r="A10" s="5" t="s">
        <v>40</v>
      </c>
      <c r="B10">
        <v>1</v>
      </c>
    </row>
    <row r="11" spans="1:2" x14ac:dyDescent="0.35">
      <c r="A11" s="5" t="s">
        <v>37</v>
      </c>
      <c r="B11">
        <v>1</v>
      </c>
    </row>
    <row r="12" spans="1:2" x14ac:dyDescent="0.35">
      <c r="A12" s="5" t="s">
        <v>24</v>
      </c>
      <c r="B12">
        <v>4</v>
      </c>
    </row>
    <row r="13" spans="1:2" x14ac:dyDescent="0.35">
      <c r="A13" s="5" t="s">
        <v>46</v>
      </c>
      <c r="B13">
        <v>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A7" sqref="A7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customWidth="1"/>
    <col min="5" max="19" width="20" bestFit="1" customWidth="1"/>
  </cols>
  <sheetData>
    <row r="1" spans="1:19" x14ac:dyDescent="0.35">
      <c r="A1" t="s">
        <v>0</v>
      </c>
      <c r="B1" s="2" t="s">
        <v>1</v>
      </c>
      <c r="C1" t="s">
        <v>2</v>
      </c>
      <c r="D1" t="s">
        <v>44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v>1</v>
      </c>
      <c r="B2" s="2">
        <v>46121.357210648101</v>
      </c>
      <c r="C2" s="2">
        <v>46121.358043981498</v>
      </c>
      <c r="D2" s="3">
        <f t="shared" ref="D2:D7" si="0">C2-B2</f>
        <v>8.333333971677348E-4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21</v>
      </c>
      <c r="K2" t="s">
        <v>20</v>
      </c>
      <c r="L2" t="s">
        <v>20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9" x14ac:dyDescent="0.35">
      <c r="A3">
        <v>2</v>
      </c>
      <c r="B3" s="2">
        <v>46121.357418981497</v>
      </c>
      <c r="C3" s="2">
        <v>46121.358136574097</v>
      </c>
      <c r="D3" s="3">
        <f t="shared" si="0"/>
        <v>7.1759260026738048E-4</v>
      </c>
      <c r="E3" t="s">
        <v>18</v>
      </c>
      <c r="F3" t="s">
        <v>19</v>
      </c>
      <c r="G3" t="s">
        <v>20</v>
      </c>
      <c r="H3" t="s">
        <v>20</v>
      </c>
      <c r="I3" t="s">
        <v>20</v>
      </c>
      <c r="J3" t="s">
        <v>20</v>
      </c>
      <c r="K3" t="s">
        <v>22</v>
      </c>
      <c r="L3" t="s">
        <v>20</v>
      </c>
      <c r="M3" t="s">
        <v>20</v>
      </c>
      <c r="N3" t="s">
        <v>28</v>
      </c>
      <c r="O3" t="s">
        <v>24</v>
      </c>
      <c r="P3" t="s">
        <v>25</v>
      </c>
      <c r="Q3" t="s">
        <v>29</v>
      </c>
      <c r="R3" t="s">
        <v>27</v>
      </c>
    </row>
    <row r="4" spans="1:19" x14ac:dyDescent="0.35">
      <c r="A4">
        <v>3</v>
      </c>
      <c r="B4" s="2">
        <v>46121.357210648101</v>
      </c>
      <c r="C4" s="2">
        <v>46121.358784722201</v>
      </c>
      <c r="D4" s="3">
        <f t="shared" si="0"/>
        <v>1.5740741000627168E-3</v>
      </c>
      <c r="E4" t="s">
        <v>18</v>
      </c>
      <c r="F4" t="s">
        <v>30</v>
      </c>
      <c r="G4" t="s">
        <v>20</v>
      </c>
      <c r="H4" t="s">
        <v>20</v>
      </c>
      <c r="I4" t="s">
        <v>20</v>
      </c>
      <c r="J4" t="s">
        <v>21</v>
      </c>
      <c r="K4" t="s">
        <v>20</v>
      </c>
      <c r="L4" t="s">
        <v>31</v>
      </c>
      <c r="M4" t="s">
        <v>20</v>
      </c>
      <c r="N4" t="s">
        <v>32</v>
      </c>
      <c r="O4" t="s">
        <v>24</v>
      </c>
      <c r="P4" t="s">
        <v>25</v>
      </c>
      <c r="Q4" t="s">
        <v>29</v>
      </c>
      <c r="R4" t="s">
        <v>27</v>
      </c>
      <c r="S4" t="s">
        <v>33</v>
      </c>
    </row>
    <row r="5" spans="1:19" x14ac:dyDescent="0.35">
      <c r="A5">
        <v>4</v>
      </c>
      <c r="B5" s="2">
        <v>46121.357430555603</v>
      </c>
      <c r="C5" s="2">
        <v>46121.358854166698</v>
      </c>
      <c r="D5" s="3">
        <f t="shared" si="0"/>
        <v>1.4236110946512781E-3</v>
      </c>
      <c r="E5" t="s">
        <v>18</v>
      </c>
      <c r="F5" t="s">
        <v>34</v>
      </c>
      <c r="G5" t="s">
        <v>35</v>
      </c>
      <c r="H5" t="s">
        <v>31</v>
      </c>
      <c r="I5" t="s">
        <v>22</v>
      </c>
      <c r="J5" t="s">
        <v>31</v>
      </c>
      <c r="K5" t="s">
        <v>35</v>
      </c>
      <c r="L5" t="s">
        <v>31</v>
      </c>
      <c r="M5" t="s">
        <v>20</v>
      </c>
      <c r="N5" t="s">
        <v>36</v>
      </c>
      <c r="O5" t="s">
        <v>37</v>
      </c>
      <c r="P5" t="s">
        <v>38</v>
      </c>
      <c r="Q5" t="s">
        <v>26</v>
      </c>
      <c r="R5" t="s">
        <v>27</v>
      </c>
    </row>
    <row r="6" spans="1:19" x14ac:dyDescent="0.35">
      <c r="A6">
        <v>5</v>
      </c>
      <c r="B6" s="2">
        <v>46121.366342592599</v>
      </c>
      <c r="C6" s="2">
        <v>46121.370439814797</v>
      </c>
      <c r="D6" s="3">
        <f t="shared" si="0"/>
        <v>4.097222197742667E-3</v>
      </c>
      <c r="E6" t="s">
        <v>18</v>
      </c>
      <c r="F6" t="s">
        <v>19</v>
      </c>
      <c r="G6" t="s">
        <v>20</v>
      </c>
      <c r="H6" t="s">
        <v>31</v>
      </c>
      <c r="I6" t="s">
        <v>21</v>
      </c>
      <c r="J6" t="s">
        <v>21</v>
      </c>
      <c r="K6" t="s">
        <v>20</v>
      </c>
      <c r="L6" t="s">
        <v>20</v>
      </c>
      <c r="M6" t="s">
        <v>20</v>
      </c>
      <c r="N6" t="s">
        <v>39</v>
      </c>
      <c r="O6" t="s">
        <v>40</v>
      </c>
      <c r="P6" t="s">
        <v>25</v>
      </c>
      <c r="Q6" t="s">
        <v>29</v>
      </c>
      <c r="R6" t="s">
        <v>27</v>
      </c>
    </row>
    <row r="7" spans="1:19" x14ac:dyDescent="0.35">
      <c r="A7">
        <v>6</v>
      </c>
      <c r="B7" s="2">
        <v>46121.598726851902</v>
      </c>
      <c r="C7" s="2">
        <v>46121.599421296298</v>
      </c>
      <c r="D7" s="3">
        <f t="shared" si="0"/>
        <v>6.944443957763724E-4</v>
      </c>
      <c r="E7" t="s">
        <v>18</v>
      </c>
      <c r="F7" t="s">
        <v>30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41</v>
      </c>
      <c r="O7" t="s">
        <v>24</v>
      </c>
      <c r="P7" t="s">
        <v>25</v>
      </c>
      <c r="Q7" t="s">
        <v>42</v>
      </c>
      <c r="R7" t="s">
        <v>27</v>
      </c>
      <c r="S7" t="s">
        <v>43</v>
      </c>
    </row>
    <row r="8" spans="1:19" x14ac:dyDescent="0.35">
      <c r="C8" s="1"/>
      <c r="D8" s="3">
        <f>AVERAGE(D2:D7)</f>
        <v>1.5567129642780249E-3</v>
      </c>
      <c r="F8">
        <f>COUNTIF(F2:F7, "Good (4 stars)")</f>
        <v>3</v>
      </c>
      <c r="G8">
        <f>COUNTIF(G2:G7,"Satisifed")</f>
        <v>4</v>
      </c>
      <c r="H8">
        <f>SUM(COUNTIF(Table1[Menu CLarity],"Satisifed"))</f>
        <v>3</v>
      </c>
      <c r="I8">
        <f>SUM(COUNTIF(Table1[Cleanliness],"Extremely satisfied"))</f>
        <v>3</v>
      </c>
      <c r="J8">
        <f>AVERAGE(_xlfn.SWITCH("Extremely satisfied",4,"Satisifed",3,"Neutral","0"))</f>
        <v>0</v>
      </c>
      <c r="K8">
        <f>COUNTIF(K2:K7,"Satisifed")</f>
        <v>3</v>
      </c>
      <c r="L8">
        <f>AVERAGE(_xlfn.SWITCH("satisified",0,"Dissatisfied",1,"Neutral",2,"Satisfied",3,"Extremely satisfies","4"))</f>
        <v>4</v>
      </c>
      <c r="M8">
        <f>SUM(COUNTIF(Table1[Comfort of seating],"Dissatisfied"),COUNTIF(Table1[Comfort of seating],"Satisifed"))</f>
        <v>4</v>
      </c>
      <c r="O8">
        <f>SUM(COUNTIF(Table1[How often do you visit Cafe Delight ?],"Weekly"),COUNTIF(Table1[How often do you visit Cafe Delight ?],"First Time"))</f>
        <v>5</v>
      </c>
      <c r="P8">
        <f>SUM(COUNTIF(Table1[Would you be interested in joining a customer rewards program?],"Yes"),COUNTIF(Table1[Would you be interested in joining a customer rewards program?],"No"))</f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miranda</cp:lastModifiedBy>
  <dcterms:created xsi:type="dcterms:W3CDTF">2026-04-09T21:24:35Z</dcterms:created>
  <dcterms:modified xsi:type="dcterms:W3CDTF">2026-04-11T02:41:50Z</dcterms:modified>
</cp:coreProperties>
</file>