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nataliamiranda\Documents\DataAnalytics\week-01\"/>
    </mc:Choice>
  </mc:AlternateContent>
  <xr:revisionPtr revIDLastSave="0" documentId="13_ncr:1_{A5AC5CA2-B0B3-4BE8-A44B-9B79BA71AD30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by search term" sheetId="1" r:id="rId1"/>
    <sheet name="by state" sheetId="2" r:id="rId2"/>
    <sheet name="sales region lookup" sheetId="3" r:id="rId3"/>
  </sheets>
  <definedNames>
    <definedName name="_xlnm._FilterDatabase" localSheetId="0" hidden="1">'by search term'!$A$1:$E$1</definedName>
  </definedNames>
  <calcPr calcId="191029"/>
  <pivotCaches>
    <pivotCache cacheId="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2" i="3"/>
  <c r="C3" i="3"/>
  <c r="C4" i="3"/>
  <c r="C5" i="3"/>
  <c r="C6" i="3"/>
  <c r="C7" i="3"/>
  <c r="C8" i="3"/>
  <c r="C9" i="3"/>
  <c r="C10" i="3"/>
  <c r="C11" i="3"/>
  <c r="C2" i="3"/>
  <c r="H1" i="1"/>
</calcChain>
</file>

<file path=xl/sharedStrings.xml><?xml version="1.0" encoding="utf-8"?>
<sst xmlns="http://schemas.openxmlformats.org/spreadsheetml/2006/main" count="154" uniqueCount="68">
  <si>
    <t>Region ID</t>
  </si>
  <si>
    <t>Region</t>
  </si>
  <si>
    <t># of regions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</si>
  <si>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</si>
  <si>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</si>
  <si>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</si>
  <si>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</si>
  <si>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</si>
  <si>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</si>
  <si>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</si>
  <si>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</si>
  <si>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</si>
  <si>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</si>
  <si>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</si>
  <si>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</si>
  <si>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</si>
  <si>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</si>
  <si>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</si>
  <si>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</si>
  <si>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</si>
  <si>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</si>
  <si>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</si>
  <si>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</si>
  <si>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</si>
  <si>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</si>
  <si>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</si>
  <si>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</si>
  <si>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</si>
  <si>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</si>
  <si>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</si>
  <si>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</si>
  <si>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</si>
  <si>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</si>
  <si>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</si>
  <si>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</si>
  <si>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</si>
  <si>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</si>
  <si>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</si>
  <si>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</si>
  <si>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</si>
  <si>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</si>
  <si>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</si>
  <si>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</si>
  <si>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</si>
  <si>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</si>
  <si>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</si>
  <si>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</si>
  <si>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</si>
  <si>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</si>
  <si>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</si>
  <si>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</si>
  <si>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</si>
  <si>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</si>
  <si>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</si>
  <si>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data range</t>
  </si>
  <si>
    <t>2/1/24-2/28/25</t>
  </si>
  <si>
    <t>Hamburger</t>
  </si>
  <si>
    <t>Breakup</t>
  </si>
  <si>
    <t>Milkshake</t>
  </si>
  <si>
    <t>State</t>
  </si>
  <si>
    <t>Sales Region</t>
  </si>
  <si>
    <t>Northwest</t>
  </si>
  <si>
    <t>North Central</t>
  </si>
  <si>
    <t>Row Labels</t>
  </si>
  <si>
    <t>Grand Total</t>
  </si>
  <si>
    <t>Sum of Milkshake</t>
  </si>
  <si>
    <t>Sum of Hamburger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</si>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</sst>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9" fontId="0" fillId="0" borderId="0" xfId="0" applyNumberFormat="1" applyAlignment="1">
      <alignment wrapText="1"/>
    </xf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[Ex4C_GTrends_marketing.xlsx]sales region lookup!PivotTable1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region lookup'!$B$15</c:f>
              <c:strCache>
                <c:ptCount val="1"/>
                <c:pt idx="0">
                  <c:v>Sum of Hamburger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region lookup'!$A$16:$A$26</c:f>
              <c:strCache>
                <c:ptCount val="10"/>
                <c:pt idx="0">
                  <c:v>Idaho</c:v>
                </c:pt>
                <c:pt idx="1">
                  <c:v>Michigan</c:v>
                </c:pt>
                <c:pt idx="2">
                  <c:v>Minnesota</c:v>
                </c:pt>
                <c:pt idx="3">
                  <c:v>Montana</c:v>
                </c:pt>
                <c:pt idx="4">
                  <c:v>Nebraska</c:v>
                </c:pt>
                <c:pt idx="5">
                  <c:v>North Dakota</c:v>
                </c:pt>
                <c:pt idx="6">
                  <c:v>Oregon</c:v>
                </c:pt>
                <c:pt idx="7">
                  <c:v>South Dakota</c:v>
                </c:pt>
                <c:pt idx="8">
                  <c:v>Washington</c:v>
                </c:pt>
                <c:pt idx="9">
                  <c:v>Wisconsin</c:v>
                </c:pt>
              </c:strCache>
            </c:strRef>
          </c:cat>
          <c:val>
            <c:numRef>
              <c:f>'sales region lookup'!$B$16:$B$26</c:f>
              <c:numCache>
                <c:formatCode>0%</c:formatCode>
                <c:ptCount val="10"/>
                <c:pt idx="0">
                  <c:v>0.68</c:v>
                </c:pt>
                <c:pt idx="1">
                  <c:v>0.68</c:v>
                </c:pt>
                <c:pt idx="2">
                  <c:v>0.69</c:v>
                </c:pt>
                <c:pt idx="3">
                  <c:v>0.75</c:v>
                </c:pt>
                <c:pt idx="4">
                  <c:v>0.68</c:v>
                </c:pt>
                <c:pt idx="5">
                  <c:v>0.68</c:v>
                </c:pt>
                <c:pt idx="6">
                  <c:v>0.68</c:v>
                </c:pt>
                <c:pt idx="7">
                  <c:v>0.76</c:v>
                </c:pt>
                <c:pt idx="8">
                  <c:v>0.69</c:v>
                </c:pt>
                <c:pt idx="9">
                  <c:v>0.65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75-4DBF-8AAD-70B9CD5783C9}"/>
            </c:ext>
          </c:extLst>
        </c:ser>
        <c:ser>
          <c:idx val="1"/>
          <c:order val="1"/>
          <c:tx>
            <c:strRef>
              <c:f>'sales region lookup'!$C$15</c:f>
              <c:strCache>
                <c:ptCount val="1"/>
                <c:pt idx="0">
                  <c:v>Sum of Milkshake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'sales region lookup'!$A$16:$A$26</c:f>
              <c:strCache>
                <c:ptCount val="10"/>
                <c:pt idx="0">
                  <c:v>Idaho</c:v>
                </c:pt>
                <c:pt idx="1">
                  <c:v>Michigan</c:v>
                </c:pt>
                <c:pt idx="2">
                  <c:v>Minnesota</c:v>
                </c:pt>
                <c:pt idx="3">
                  <c:v>Montana</c:v>
                </c:pt>
                <c:pt idx="4">
                  <c:v>Nebraska</c:v>
                </c:pt>
                <c:pt idx="5">
                  <c:v>North Dakota</c:v>
                </c:pt>
                <c:pt idx="6">
                  <c:v>Oregon</c:v>
                </c:pt>
                <c:pt idx="7">
                  <c:v>South Dakota</c:v>
                </c:pt>
                <c:pt idx="8">
                  <c:v>Washington</c:v>
                </c:pt>
                <c:pt idx="9">
                  <c:v>Wisconsin</c:v>
                </c:pt>
              </c:strCache>
            </c:strRef>
          </c:cat>
          <c:val>
            <c:numRef>
              <c:f>'sales region lookup'!$C$16:$C$26</c:f>
              <c:numCache>
                <c:formatCode>0%</c:formatCode>
                <c:ptCount val="10"/>
                <c:pt idx="0">
                  <c:v>0.19</c:v>
                </c:pt>
                <c:pt idx="1">
                  <c:v>0.19</c:v>
                </c:pt>
                <c:pt idx="2">
                  <c:v>0.17</c:v>
                </c:pt>
                <c:pt idx="3">
                  <c:v>0.14000000000000001</c:v>
                </c:pt>
                <c:pt idx="4">
                  <c:v>0.19</c:v>
                </c:pt>
                <c:pt idx="5">
                  <c:v>0.19</c:v>
                </c:pt>
                <c:pt idx="6">
                  <c:v>0.18</c:v>
                </c:pt>
                <c:pt idx="7">
                  <c:v>0.14000000000000001</c:v>
                </c:pt>
                <c:pt idx="8">
                  <c:v>0.17</c:v>
                </c:pt>
                <c:pt idx="9">
                  <c:v>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75-4DBF-8AAD-70B9CD5783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49711392"/>
        <c:axId val="349717632"/>
      </c:barChart>
      <c:catAx>
        <c:axId val="34971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717632"/>
        <c:crosses val="autoZero"/>
        <c:auto val="1"/>
        <c:lblAlgn val="ctr"/>
        <c:lblOffset val="100"/>
        <c:noMultiLvlLbl val="0"/>
      </c:catAx>
      <c:valAx>
        <c:axId val="34971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711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434975</xdr:colOff>
      <xdr:row>7</xdr:row>
      <xdr:rowOff>19050</xdr:rowOff>
    </xdr:from>
    <xdr:to>
      <xdr:col>10</xdr:col>
      <xdr:colOff>282575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70C179-BA45-22A6-27AE-4E5848D016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miranda" refreshedDate="46120.282147453705" createdVersion="8" refreshedVersion="8" minRefreshableVersion="3" recordCount="10" xr:uid="{8862A27D-176D-4EFE-9375-A6821F30CB30}">
  <cacheSource type="worksheet">
    <worksheetSource ref="A1:D11" sheet="sales region lookup"/>
  </cacheSource>
  <cacheFields count="4">
    <cacheField name="State" numFmtId="0">
      <sharedItems count="10">
        <s v="Washington"/>
        <s v="Oregon"/>
        <s v="Idaho"/>
        <s v="Montana"/>
        <s v="North Dakota"/>
        <s v="South Dakota"/>
        <s v="Nebraska"/>
        <s v="Minnesota"/>
        <s v="Wisconsin"/>
        <s v="Michigan"/>
      </sharedItems>
    </cacheField>
    <cacheField name="Sales Region" numFmtId="0">
      <sharedItems count="2">
        <s v="Northwest"/>
        <s v="North Central"/>
      </sharedItems>
    </cacheField>
    <cacheField name="Hamburger" numFmtId="9">
      <sharedItems containsSemiMixedTypes="0" containsString="0" containsNumber="1" minValue="0.65" maxValue="0.76"/>
    </cacheField>
    <cacheField name="Milkshake" numFmtId="9">
      <sharedItems containsSemiMixedTypes="0" containsString="0" containsNumber="1" minValue="0.14000000000000001" maxValue="0.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n v="0.69"/>
    <n v="0.17"/>
  </r>
  <r>
    <x v="1"/>
    <x v="0"/>
    <n v="0.68"/>
    <n v="0.18"/>
  </r>
  <r>
    <x v="2"/>
    <x v="0"/>
    <n v="0.68"/>
    <n v="0.19"/>
  </r>
  <r>
    <x v="3"/>
    <x v="0"/>
    <n v="0.75"/>
    <n v="0.14000000000000001"/>
  </r>
  <r>
    <x v="4"/>
    <x v="1"/>
    <n v="0.68"/>
    <n v="0.19"/>
  </r>
  <r>
    <x v="5"/>
    <x v="1"/>
    <n v="0.76"/>
    <n v="0.14000000000000001"/>
  </r>
  <r>
    <x v="6"/>
    <x v="1"/>
    <n v="0.68"/>
    <n v="0.19"/>
  </r>
  <r>
    <x v="7"/>
    <x v="1"/>
    <n v="0.69"/>
    <n v="0.17"/>
  </r>
  <r>
    <x v="8"/>
    <x v="1"/>
    <n v="0.65"/>
    <n v="0.21"/>
  </r>
  <r>
    <x v="9"/>
    <x v="1"/>
    <n v="0.68"/>
    <n v="0.1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28DDB8-6B0A-4A79-B619-1E9512438153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5:C26" firstHeaderRow="0" firstDataRow="1" firstDataCol="1" rowPageCount="1" colPageCount="1"/>
  <pivotFields count="4">
    <pivotField axis="axisRow" showAll="0">
      <items count="11">
        <item x="2"/>
        <item x="9"/>
        <item x="7"/>
        <item x="3"/>
        <item x="6"/>
        <item x="4"/>
        <item x="1"/>
        <item x="5"/>
        <item x="0"/>
        <item x="8"/>
        <item t="default"/>
      </items>
    </pivotField>
    <pivotField axis="axisPage" showAll="0">
      <items count="3">
        <item x="1"/>
        <item x="0"/>
        <item t="default"/>
      </items>
    </pivotField>
    <pivotField dataField="1" numFmtId="9" showAll="0"/>
    <pivotField dataField="1" numFmtId="9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Hamburger" fld="2" baseField="0" baseItem="0" numFmtId="9"/>
    <dataField name="Sum of Milkshake" fld="3" baseField="0" baseItem="0" numFmtId="9"/>
  </dataFields>
  <chartFormats count="2">
    <chartFormat chart="0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2"/>
  <sheetViews>
    <sheetView topLeftCell="A35" workbookViewId="0">
      <selection activeCell="B1" sqref="B1:E52"/>
    </sheetView>
  </sheetViews>
  <sheetFormatPr defaultColWidth="29.36328125" defaultRowHeight="21" customHeight="1" x14ac:dyDescent="0.35"/>
  <cols>
    <col min="1" max="1" width="16.1796875" style="1" customWidth="1"/>
    <col min="2" max="2" width="20.6328125" style="1" customWidth="1"/>
    <col min="3" max="4" width="13.6328125" style="1" customWidth="1"/>
    <col min="5" max="5" width="12.6328125" style="1" customWidth="1"/>
    <col min="6" max="6" width="14.453125" style="1" customWidth="1"/>
    <col min="7" max="7" width="12.08984375" style="1" customWidth="1"/>
    <col min="8" max="8" width="11.26953125" style="1" customWidth="1"/>
    <col min="9" max="9" width="12.1796875" style="1" customWidth="1"/>
    <col min="10" max="10" width="15" style="1" customWidth="1"/>
    <col min="11" max="16384" width="29.36328125" style="1"/>
  </cols>
  <sheetData>
    <row r="1" spans="1:11" ht="21" customHeight="1" x14ac:dyDescent="0.35">
      <c r="A1" s="1" t="s">
        <v>0</v>
      </c>
      <c r="B1" s="1" t="s">
        <v>1</v>
      </c>
      <c r="C1" s="1" t="s">
        <v>56</v>
      </c>
      <c r="D1" s="1" t="s">
        <v>58</v>
      </c>
      <c r="E1" s="1" t="s">
        <v>57</v>
      </c>
      <c r="G1" s="2" t="s">
        <v>2</v>
      </c>
      <c r="H1" s="2">
        <f>COUNTA(B2:B52)</f>
        <v>51</v>
      </c>
      <c r="J1" s="1" t="s">
        <v>54</v>
      </c>
      <c r="K1" s="1" t="s">
        <v>55</v>
      </c>
    </row>
    <row r="2" spans="1:11" ht="21" customHeight="1" x14ac:dyDescent="0.35">
      <c r="A2" s="1">
        <v>1</v>
      </c>
      <c r="B2" s="1" t="s">
        <v>3</v>
      </c>
      <c r="C2" s="3">
        <v>0.62</v>
      </c>
      <c r="D2" s="3">
        <v>0.25</v>
      </c>
      <c r="E2" s="3">
        <v>0.13</v>
      </c>
    </row>
    <row r="3" spans="1:11" ht="21" customHeight="1" x14ac:dyDescent="0.35">
      <c r="A3" s="1">
        <v>2</v>
      </c>
      <c r="B3" s="1" t="s">
        <v>4</v>
      </c>
      <c r="C3" s="3">
        <v>0.7</v>
      </c>
      <c r="D3" s="3">
        <v>0.16</v>
      </c>
      <c r="E3" s="3">
        <v>0.14000000000000001</v>
      </c>
    </row>
    <row r="4" spans="1:11" ht="21" customHeight="1" x14ac:dyDescent="0.35">
      <c r="A4" s="1">
        <v>3</v>
      </c>
      <c r="B4" s="1" t="s">
        <v>5</v>
      </c>
      <c r="C4" s="3">
        <v>0.65</v>
      </c>
      <c r="D4" s="3">
        <v>0.2</v>
      </c>
      <c r="E4" s="3">
        <v>0.15</v>
      </c>
    </row>
    <row r="5" spans="1:11" ht="21" customHeight="1" x14ac:dyDescent="0.35">
      <c r="A5" s="1">
        <v>4</v>
      </c>
      <c r="B5" s="1" t="s">
        <v>6</v>
      </c>
      <c r="C5" s="3">
        <v>0.67</v>
      </c>
      <c r="D5" s="3">
        <v>0.21</v>
      </c>
      <c r="E5" s="3">
        <v>0.12</v>
      </c>
    </row>
    <row r="6" spans="1:11" ht="21" customHeight="1" x14ac:dyDescent="0.35">
      <c r="A6" s="1">
        <v>5</v>
      </c>
      <c r="B6" s="1" t="s">
        <v>7</v>
      </c>
      <c r="C6" s="3">
        <v>0.65</v>
      </c>
      <c r="D6" s="3">
        <v>0.2</v>
      </c>
      <c r="E6" s="3">
        <v>0.15</v>
      </c>
    </row>
    <row r="7" spans="1:11" ht="21" customHeight="1" x14ac:dyDescent="0.35">
      <c r="A7" s="1">
        <v>6</v>
      </c>
      <c r="B7" s="1" t="s">
        <v>8</v>
      </c>
      <c r="C7" s="3">
        <v>0.67</v>
      </c>
      <c r="D7" s="3">
        <v>0.19</v>
      </c>
      <c r="E7" s="3">
        <v>0.14000000000000001</v>
      </c>
    </row>
    <row r="8" spans="1:11" ht="21" customHeight="1" x14ac:dyDescent="0.35">
      <c r="A8" s="1">
        <v>7</v>
      </c>
      <c r="B8" s="1" t="s">
        <v>9</v>
      </c>
      <c r="C8" s="3">
        <v>0.63</v>
      </c>
      <c r="D8" s="3">
        <v>0.22</v>
      </c>
      <c r="E8" s="3">
        <v>0.15</v>
      </c>
    </row>
    <row r="9" spans="1:11" ht="21" customHeight="1" x14ac:dyDescent="0.35">
      <c r="A9" s="1">
        <v>8</v>
      </c>
      <c r="B9" s="1" t="s">
        <v>10</v>
      </c>
      <c r="C9" s="3">
        <v>0.62</v>
      </c>
      <c r="D9" s="3">
        <v>0.25</v>
      </c>
      <c r="E9" s="3">
        <v>0.13</v>
      </c>
    </row>
    <row r="10" spans="1:11" ht="21" customHeight="1" x14ac:dyDescent="0.35">
      <c r="A10" s="1">
        <v>9</v>
      </c>
      <c r="B10" s="1" t="s">
        <v>11</v>
      </c>
      <c r="C10" s="3">
        <v>0.67</v>
      </c>
      <c r="D10" s="3">
        <v>0.17</v>
      </c>
      <c r="E10" s="3">
        <v>0.16</v>
      </c>
    </row>
    <row r="11" spans="1:11" ht="21" customHeight="1" x14ac:dyDescent="0.35">
      <c r="A11" s="1">
        <v>10</v>
      </c>
      <c r="B11" s="1" t="s">
        <v>12</v>
      </c>
      <c r="C11" s="3">
        <v>0.61</v>
      </c>
      <c r="D11" s="3">
        <v>0.24</v>
      </c>
      <c r="E11" s="3">
        <v>0.15</v>
      </c>
    </row>
    <row r="12" spans="1:11" ht="21" customHeight="1" x14ac:dyDescent="0.35">
      <c r="A12" s="1">
        <v>11</v>
      </c>
      <c r="B12" s="1" t="s">
        <v>13</v>
      </c>
      <c r="C12" s="3">
        <v>0.63</v>
      </c>
      <c r="D12" s="3">
        <v>0.23</v>
      </c>
      <c r="E12" s="3">
        <v>0.14000000000000001</v>
      </c>
    </row>
    <row r="13" spans="1:11" ht="21" customHeight="1" x14ac:dyDescent="0.35">
      <c r="A13" s="1">
        <v>12</v>
      </c>
      <c r="B13" s="1" t="s">
        <v>14</v>
      </c>
      <c r="C13" s="3">
        <v>0.71</v>
      </c>
      <c r="D13" s="3">
        <v>0.15</v>
      </c>
      <c r="E13" s="3">
        <v>0.14000000000000001</v>
      </c>
    </row>
    <row r="14" spans="1:11" ht="21" customHeight="1" x14ac:dyDescent="0.35">
      <c r="A14" s="1">
        <v>13</v>
      </c>
      <c r="B14" s="1" t="s">
        <v>15</v>
      </c>
      <c r="C14" s="3">
        <v>0.68</v>
      </c>
      <c r="D14" s="3">
        <v>0.19</v>
      </c>
      <c r="E14" s="3">
        <v>0.13</v>
      </c>
    </row>
    <row r="15" spans="1:11" ht="21" customHeight="1" x14ac:dyDescent="0.35">
      <c r="A15" s="1">
        <v>14</v>
      </c>
      <c r="B15" s="1" t="s">
        <v>16</v>
      </c>
      <c r="C15" s="3">
        <v>0.62</v>
      </c>
      <c r="D15" s="3">
        <v>0.23</v>
      </c>
      <c r="E15" s="3">
        <v>0.15</v>
      </c>
    </row>
    <row r="16" spans="1:11" ht="21" customHeight="1" x14ac:dyDescent="0.35">
      <c r="A16" s="1">
        <v>15</v>
      </c>
      <c r="B16" s="1" t="s">
        <v>17</v>
      </c>
      <c r="C16" s="3">
        <v>0.64</v>
      </c>
      <c r="D16" s="3">
        <v>0.24</v>
      </c>
      <c r="E16" s="3">
        <v>0.12</v>
      </c>
    </row>
    <row r="17" spans="1:5" ht="21" customHeight="1" x14ac:dyDescent="0.35">
      <c r="A17" s="1">
        <v>16</v>
      </c>
      <c r="B17" s="1" t="s">
        <v>18</v>
      </c>
      <c r="C17" s="3">
        <v>0.68</v>
      </c>
      <c r="D17" s="3">
        <v>0.19</v>
      </c>
      <c r="E17" s="3">
        <v>0.13</v>
      </c>
    </row>
    <row r="18" spans="1:5" ht="21" customHeight="1" x14ac:dyDescent="0.35">
      <c r="A18" s="1">
        <v>17</v>
      </c>
      <c r="B18" s="1" t="s">
        <v>19</v>
      </c>
      <c r="C18" s="3">
        <v>0.66</v>
      </c>
      <c r="D18" s="3">
        <v>0.2</v>
      </c>
      <c r="E18" s="3">
        <v>0.14000000000000001</v>
      </c>
    </row>
    <row r="19" spans="1:5" ht="21" customHeight="1" x14ac:dyDescent="0.35">
      <c r="A19" s="1">
        <v>18</v>
      </c>
      <c r="B19" s="1" t="s">
        <v>20</v>
      </c>
      <c r="C19" s="3">
        <v>0.64</v>
      </c>
      <c r="D19" s="3">
        <v>0.23</v>
      </c>
      <c r="E19" s="3">
        <v>0.13</v>
      </c>
    </row>
    <row r="20" spans="1:5" ht="21" customHeight="1" x14ac:dyDescent="0.35">
      <c r="A20" s="1">
        <v>19</v>
      </c>
      <c r="B20" s="1" t="s">
        <v>21</v>
      </c>
      <c r="C20" s="3">
        <v>0.67</v>
      </c>
      <c r="D20" s="3">
        <v>0.2</v>
      </c>
      <c r="E20" s="3">
        <v>0.13</v>
      </c>
    </row>
    <row r="21" spans="1:5" ht="21" customHeight="1" x14ac:dyDescent="0.35">
      <c r="A21" s="1">
        <v>20</v>
      </c>
      <c r="B21" s="1" t="s">
        <v>22</v>
      </c>
      <c r="C21" s="3">
        <v>0.7</v>
      </c>
      <c r="D21" s="3">
        <v>0.17</v>
      </c>
      <c r="E21" s="3">
        <v>0.13</v>
      </c>
    </row>
    <row r="22" spans="1:5" ht="21" customHeight="1" x14ac:dyDescent="0.35">
      <c r="A22" s="1">
        <v>21</v>
      </c>
      <c r="B22" s="1" t="s">
        <v>23</v>
      </c>
      <c r="C22" s="3">
        <v>0.63</v>
      </c>
      <c r="D22" s="3">
        <v>0.23</v>
      </c>
      <c r="E22" s="3">
        <v>0.14000000000000001</v>
      </c>
    </row>
    <row r="23" spans="1:5" ht="21" customHeight="1" x14ac:dyDescent="0.35">
      <c r="A23" s="1">
        <v>22</v>
      </c>
      <c r="B23" s="1" t="s">
        <v>24</v>
      </c>
      <c r="C23" s="3">
        <v>0.62</v>
      </c>
      <c r="D23" s="3">
        <v>0.21</v>
      </c>
      <c r="E23" s="3">
        <v>0.17</v>
      </c>
    </row>
    <row r="24" spans="1:5" ht="21" customHeight="1" x14ac:dyDescent="0.35">
      <c r="A24" s="1">
        <v>23</v>
      </c>
      <c r="B24" s="1" t="s">
        <v>25</v>
      </c>
      <c r="C24" s="3">
        <v>0.68</v>
      </c>
      <c r="D24" s="3">
        <v>0.19</v>
      </c>
      <c r="E24" s="3">
        <v>0.13</v>
      </c>
    </row>
    <row r="25" spans="1:5" ht="21" customHeight="1" x14ac:dyDescent="0.35">
      <c r="A25" s="1">
        <v>24</v>
      </c>
      <c r="B25" s="1" t="s">
        <v>26</v>
      </c>
      <c r="C25" s="3">
        <v>0.69</v>
      </c>
      <c r="D25" s="3">
        <v>0.17</v>
      </c>
      <c r="E25" s="3">
        <v>0.14000000000000001</v>
      </c>
    </row>
    <row r="26" spans="1:5" ht="21" customHeight="1" x14ac:dyDescent="0.35">
      <c r="A26" s="1">
        <v>25</v>
      </c>
      <c r="B26" s="1" t="s">
        <v>27</v>
      </c>
      <c r="C26" s="3">
        <v>0.69</v>
      </c>
      <c r="D26" s="3">
        <v>0.19</v>
      </c>
      <c r="E26" s="3">
        <v>0.12</v>
      </c>
    </row>
    <row r="27" spans="1:5" ht="21" customHeight="1" x14ac:dyDescent="0.35">
      <c r="A27" s="1">
        <v>26</v>
      </c>
      <c r="B27" s="1" t="s">
        <v>28</v>
      </c>
      <c r="C27" s="3">
        <v>0.67</v>
      </c>
      <c r="D27" s="3">
        <v>0.19</v>
      </c>
      <c r="E27" s="3">
        <v>0.14000000000000001</v>
      </c>
    </row>
    <row r="28" spans="1:5" ht="21" customHeight="1" x14ac:dyDescent="0.35">
      <c r="A28" s="1">
        <v>27</v>
      </c>
      <c r="B28" s="1" t="s">
        <v>29</v>
      </c>
      <c r="C28" s="3">
        <v>0.75</v>
      </c>
      <c r="D28" s="3">
        <v>0.14000000000000001</v>
      </c>
      <c r="E28" s="3">
        <v>0.11</v>
      </c>
    </row>
    <row r="29" spans="1:5" ht="21" customHeight="1" x14ac:dyDescent="0.35">
      <c r="A29" s="1">
        <v>28</v>
      </c>
      <c r="B29" s="1" t="s">
        <v>30</v>
      </c>
      <c r="C29" s="3">
        <v>0.68</v>
      </c>
      <c r="D29" s="3">
        <v>0.19</v>
      </c>
      <c r="E29" s="3">
        <v>0.13</v>
      </c>
    </row>
    <row r="30" spans="1:5" ht="21" customHeight="1" x14ac:dyDescent="0.35">
      <c r="A30" s="1">
        <v>29</v>
      </c>
      <c r="B30" s="1" t="s">
        <v>31</v>
      </c>
      <c r="C30" s="3">
        <v>0.67</v>
      </c>
      <c r="D30" s="3">
        <v>0.2</v>
      </c>
      <c r="E30" s="3">
        <v>0.13</v>
      </c>
    </row>
    <row r="31" spans="1:5" ht="21" customHeight="1" x14ac:dyDescent="0.35">
      <c r="A31" s="1">
        <v>30</v>
      </c>
      <c r="B31" s="1" t="s">
        <v>32</v>
      </c>
      <c r="C31" s="3">
        <v>0.68</v>
      </c>
      <c r="D31" s="3">
        <v>0.18</v>
      </c>
      <c r="E31" s="3">
        <v>0.14000000000000001</v>
      </c>
    </row>
    <row r="32" spans="1:5" ht="21" customHeight="1" x14ac:dyDescent="0.35">
      <c r="A32" s="1">
        <v>31</v>
      </c>
      <c r="B32" s="1" t="s">
        <v>33</v>
      </c>
      <c r="C32" s="3">
        <v>0.61</v>
      </c>
      <c r="D32" s="3">
        <v>0.23</v>
      </c>
      <c r="E32" s="3">
        <v>0.16</v>
      </c>
    </row>
    <row r="33" spans="1:5" ht="21" customHeight="1" x14ac:dyDescent="0.35">
      <c r="A33" s="1">
        <v>32</v>
      </c>
      <c r="B33" s="1" t="s">
        <v>34</v>
      </c>
      <c r="C33" s="3">
        <v>0.67</v>
      </c>
      <c r="D33" s="3">
        <v>0.19</v>
      </c>
      <c r="E33" s="3">
        <v>0.14000000000000001</v>
      </c>
    </row>
    <row r="34" spans="1:5" ht="21" customHeight="1" x14ac:dyDescent="0.35">
      <c r="A34" s="1">
        <v>33</v>
      </c>
      <c r="B34" s="1" t="s">
        <v>35</v>
      </c>
      <c r="C34" s="3">
        <v>0.64</v>
      </c>
      <c r="D34" s="3">
        <v>0.2</v>
      </c>
      <c r="E34" s="3">
        <v>0.16</v>
      </c>
    </row>
    <row r="35" spans="1:5" ht="21" customHeight="1" x14ac:dyDescent="0.35">
      <c r="A35" s="1">
        <v>34</v>
      </c>
      <c r="B35" s="1" t="s">
        <v>36</v>
      </c>
      <c r="C35" s="3">
        <v>0.63</v>
      </c>
      <c r="D35" s="3">
        <v>0.24</v>
      </c>
      <c r="E35" s="3">
        <v>0.13</v>
      </c>
    </row>
    <row r="36" spans="1:5" ht="21" customHeight="1" x14ac:dyDescent="0.35">
      <c r="A36" s="1">
        <v>35</v>
      </c>
      <c r="B36" s="1" t="s">
        <v>37</v>
      </c>
      <c r="C36" s="3">
        <v>0.68</v>
      </c>
      <c r="D36" s="3">
        <v>0.19</v>
      </c>
      <c r="E36" s="3">
        <v>0.13</v>
      </c>
    </row>
    <row r="37" spans="1:5" ht="21" customHeight="1" x14ac:dyDescent="0.35">
      <c r="A37" s="1">
        <v>36</v>
      </c>
      <c r="B37" s="1" t="s">
        <v>38</v>
      </c>
      <c r="C37" s="3">
        <v>0.65</v>
      </c>
      <c r="D37" s="3">
        <v>0.22</v>
      </c>
      <c r="E37" s="3">
        <v>0.13</v>
      </c>
    </row>
    <row r="38" spans="1:5" ht="21" customHeight="1" x14ac:dyDescent="0.35">
      <c r="A38" s="1">
        <v>37</v>
      </c>
      <c r="B38" s="1" t="s">
        <v>39</v>
      </c>
      <c r="C38" s="3">
        <v>0.69</v>
      </c>
      <c r="D38" s="3">
        <v>0.19</v>
      </c>
      <c r="E38" s="3">
        <v>0.12</v>
      </c>
    </row>
    <row r="39" spans="1:5" ht="21" customHeight="1" x14ac:dyDescent="0.35">
      <c r="A39" s="1">
        <v>38</v>
      </c>
      <c r="B39" s="1" t="s">
        <v>40</v>
      </c>
      <c r="C39" s="3">
        <v>0.68</v>
      </c>
      <c r="D39" s="3">
        <v>0.18</v>
      </c>
      <c r="E39" s="3">
        <v>0.14000000000000001</v>
      </c>
    </row>
    <row r="40" spans="1:5" ht="21" customHeight="1" x14ac:dyDescent="0.35">
      <c r="A40" s="1">
        <v>39</v>
      </c>
      <c r="B40" s="1" t="s">
        <v>41</v>
      </c>
      <c r="C40" s="3">
        <v>0.61</v>
      </c>
      <c r="D40" s="3">
        <v>0.23</v>
      </c>
      <c r="E40" s="3">
        <v>0.16</v>
      </c>
    </row>
    <row r="41" spans="1:5" ht="21" customHeight="1" x14ac:dyDescent="0.35">
      <c r="A41" s="1">
        <v>40</v>
      </c>
      <c r="B41" s="1" t="s">
        <v>42</v>
      </c>
      <c r="C41" s="3">
        <v>0.65</v>
      </c>
      <c r="D41" s="3">
        <v>0.22</v>
      </c>
      <c r="E41" s="3">
        <v>0.13</v>
      </c>
    </row>
    <row r="42" spans="1:5" ht="21" customHeight="1" x14ac:dyDescent="0.35">
      <c r="A42" s="1">
        <v>41</v>
      </c>
      <c r="B42" s="1" t="s">
        <v>43</v>
      </c>
      <c r="C42" s="3">
        <v>0.66</v>
      </c>
      <c r="D42" s="3">
        <v>0.22</v>
      </c>
      <c r="E42" s="3">
        <v>0.12</v>
      </c>
    </row>
    <row r="43" spans="1:5" ht="21" customHeight="1" x14ac:dyDescent="0.35">
      <c r="A43" s="1">
        <v>42</v>
      </c>
      <c r="B43" s="1" t="s">
        <v>44</v>
      </c>
      <c r="C43" s="3">
        <v>0.76</v>
      </c>
      <c r="D43" s="3">
        <v>0.14000000000000001</v>
      </c>
      <c r="E43" s="3">
        <v>0.1</v>
      </c>
    </row>
    <row r="44" spans="1:5" ht="21" customHeight="1" x14ac:dyDescent="0.35">
      <c r="A44" s="1">
        <v>43</v>
      </c>
      <c r="B44" s="1" t="s">
        <v>45</v>
      </c>
      <c r="C44" s="3">
        <v>0.65</v>
      </c>
      <c r="D44" s="3">
        <v>0.22</v>
      </c>
      <c r="E44" s="3">
        <v>0.13</v>
      </c>
    </row>
    <row r="45" spans="1:5" ht="21" customHeight="1" x14ac:dyDescent="0.35">
      <c r="A45" s="1">
        <v>44</v>
      </c>
      <c r="B45" s="1" t="s">
        <v>46</v>
      </c>
      <c r="C45" s="3">
        <v>0.65</v>
      </c>
      <c r="D45" s="3">
        <v>0.21</v>
      </c>
      <c r="E45" s="3">
        <v>0.14000000000000001</v>
      </c>
    </row>
    <row r="46" spans="1:5" ht="21" customHeight="1" x14ac:dyDescent="0.35">
      <c r="A46" s="1">
        <v>45</v>
      </c>
      <c r="B46" s="1" t="s">
        <v>47</v>
      </c>
      <c r="C46" s="3">
        <v>0.67</v>
      </c>
      <c r="D46" s="3">
        <v>0.2</v>
      </c>
      <c r="E46" s="3">
        <v>0.13</v>
      </c>
    </row>
    <row r="47" spans="1:5" ht="21" customHeight="1" x14ac:dyDescent="0.35">
      <c r="A47" s="1">
        <v>46</v>
      </c>
      <c r="B47" s="1" t="s">
        <v>48</v>
      </c>
      <c r="C47" s="3">
        <v>0.69</v>
      </c>
      <c r="D47" s="3">
        <v>0.17</v>
      </c>
      <c r="E47" s="3">
        <v>0.14000000000000001</v>
      </c>
    </row>
    <row r="48" spans="1:5" ht="21" customHeight="1" x14ac:dyDescent="0.35">
      <c r="A48" s="1">
        <v>47</v>
      </c>
      <c r="B48" s="1" t="s">
        <v>49</v>
      </c>
      <c r="C48" s="3">
        <v>0.64</v>
      </c>
      <c r="D48" s="3">
        <v>0.22</v>
      </c>
      <c r="E48" s="3">
        <v>0.14000000000000001</v>
      </c>
    </row>
    <row r="49" spans="1:5" ht="21" customHeight="1" x14ac:dyDescent="0.35">
      <c r="A49" s="1">
        <v>48</v>
      </c>
      <c r="B49" s="1" t="s">
        <v>50</v>
      </c>
      <c r="C49" s="3">
        <v>0.69</v>
      </c>
      <c r="D49" s="3">
        <v>0.17</v>
      </c>
      <c r="E49" s="3">
        <v>0.14000000000000001</v>
      </c>
    </row>
    <row r="50" spans="1:5" ht="21" customHeight="1" x14ac:dyDescent="0.35">
      <c r="A50" s="1">
        <v>49</v>
      </c>
      <c r="B50" s="1" t="s">
        <v>51</v>
      </c>
      <c r="C50" s="3">
        <v>0.63</v>
      </c>
      <c r="D50" s="3">
        <v>0.24</v>
      </c>
      <c r="E50" s="3">
        <v>0.13</v>
      </c>
    </row>
    <row r="51" spans="1:5" ht="21" customHeight="1" x14ac:dyDescent="0.35">
      <c r="A51" s="1">
        <v>50</v>
      </c>
      <c r="B51" s="1" t="s">
        <v>52</v>
      </c>
      <c r="C51" s="3">
        <v>0.65</v>
      </c>
      <c r="D51" s="3">
        <v>0.21</v>
      </c>
      <c r="E51" s="3">
        <v>0.14000000000000001</v>
      </c>
    </row>
    <row r="52" spans="1:5" ht="21" customHeight="1" x14ac:dyDescent="0.35">
      <c r="A52" s="1">
        <v>51</v>
      </c>
      <c r="B52" s="1" t="s">
        <v>53</v>
      </c>
      <c r="C52" s="3">
        <v>0.71</v>
      </c>
      <c r="D52" s="3">
        <v>0.16</v>
      </c>
      <c r="E52" s="3">
        <v>0.13</v>
      </c>
    </row>
  </sheetData>
  <autoFilter ref="A1:E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AE1A3-66C8-433F-94D3-4AA8FB3F3FA4}">
  <dimension ref="A1:AZ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90625" defaultRowHeight="25.5" customHeight="1" x14ac:dyDescent="0.35"/>
  <cols>
    <col min="10" max="10" width="12.6328125" customWidth="1"/>
  </cols>
  <sheetData>
    <row r="1" spans="1:52" ht="25.5" customHeight="1" x14ac:dyDescent="0.35">
      <c r="A1" s="1" t="s">
        <v>1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23</v>
      </c>
      <c r="W1" s="1" t="s">
        <v>24</v>
      </c>
      <c r="X1" s="1" t="s">
        <v>25</v>
      </c>
      <c r="Y1" s="1" t="s">
        <v>26</v>
      </c>
      <c r="Z1" s="1" t="s">
        <v>27</v>
      </c>
      <c r="AA1" s="1" t="s">
        <v>28</v>
      </c>
      <c r="AB1" s="1" t="s">
        <v>29</v>
      </c>
      <c r="AC1" s="1" t="s">
        <v>30</v>
      </c>
      <c r="AD1" s="1" t="s">
        <v>31</v>
      </c>
      <c r="AE1" s="1" t="s">
        <v>32</v>
      </c>
      <c r="AF1" s="1" t="s">
        <v>33</v>
      </c>
      <c r="AG1" s="1" t="s">
        <v>34</v>
      </c>
      <c r="AH1" s="1" t="s">
        <v>35</v>
      </c>
      <c r="AI1" s="1" t="s">
        <v>36</v>
      </c>
      <c r="AJ1" s="1" t="s">
        <v>37</v>
      </c>
      <c r="AK1" s="1" t="s">
        <v>38</v>
      </c>
      <c r="AL1" s="1" t="s">
        <v>39</v>
      </c>
      <c r="AM1" s="1" t="s">
        <v>40</v>
      </c>
      <c r="AN1" s="1" t="s">
        <v>41</v>
      </c>
      <c r="AO1" s="1" t="s">
        <v>42</v>
      </c>
      <c r="AP1" s="1" t="s">
        <v>43</v>
      </c>
      <c r="AQ1" s="1" t="s">
        <v>44</v>
      </c>
      <c r="AR1" s="1" t="s">
        <v>45</v>
      </c>
      <c r="AS1" s="1" t="s">
        <v>46</v>
      </c>
      <c r="AT1" s="1" t="s">
        <v>47</v>
      </c>
      <c r="AU1" s="1" t="s">
        <v>48</v>
      </c>
      <c r="AV1" s="1" t="s">
        <v>49</v>
      </c>
      <c r="AW1" s="1" t="s">
        <v>50</v>
      </c>
      <c r="AX1" s="1" t="s">
        <v>51</v>
      </c>
      <c r="AY1" s="1" t="s">
        <v>52</v>
      </c>
      <c r="AZ1" s="1" t="s">
        <v>53</v>
      </c>
    </row>
    <row r="2" spans="1:52" ht="25.5" customHeight="1" x14ac:dyDescent="0.35">
      <c r="A2" s="1" t="s">
        <v>56</v>
      </c>
      <c r="B2" s="3">
        <v>0.62</v>
      </c>
      <c r="C2" s="3">
        <v>0.7</v>
      </c>
      <c r="D2" s="3">
        <v>0.65</v>
      </c>
      <c r="E2" s="3">
        <v>0.67</v>
      </c>
      <c r="F2" s="3">
        <v>0.65</v>
      </c>
      <c r="G2" s="3">
        <v>0.67</v>
      </c>
      <c r="H2" s="3">
        <v>0.63</v>
      </c>
      <c r="I2" s="3">
        <v>0.62</v>
      </c>
      <c r="J2" s="3">
        <v>0.67</v>
      </c>
      <c r="K2" s="3">
        <v>0.61</v>
      </c>
      <c r="L2" s="3">
        <v>0.63</v>
      </c>
      <c r="M2" s="3">
        <v>0.71</v>
      </c>
      <c r="N2" s="3">
        <v>0.68</v>
      </c>
      <c r="O2" s="3">
        <v>0.62</v>
      </c>
      <c r="P2" s="3">
        <v>0.64</v>
      </c>
      <c r="Q2" s="3">
        <v>0.68</v>
      </c>
      <c r="R2" s="3">
        <v>0.66</v>
      </c>
      <c r="S2" s="3">
        <v>0.64</v>
      </c>
      <c r="T2" s="3">
        <v>0.67</v>
      </c>
      <c r="U2" s="3">
        <v>0.7</v>
      </c>
      <c r="V2" s="3">
        <v>0.63</v>
      </c>
      <c r="W2" s="3">
        <v>0.62</v>
      </c>
      <c r="X2" s="3">
        <v>0.68</v>
      </c>
      <c r="Y2" s="3">
        <v>0.69</v>
      </c>
      <c r="Z2" s="3">
        <v>0.69</v>
      </c>
      <c r="AA2" s="3">
        <v>0.67</v>
      </c>
      <c r="AB2" s="3">
        <v>0.75</v>
      </c>
      <c r="AC2" s="3">
        <v>0.68</v>
      </c>
      <c r="AD2" s="3">
        <v>0.67</v>
      </c>
      <c r="AE2" s="3">
        <v>0.68</v>
      </c>
      <c r="AF2" s="3">
        <v>0.61</v>
      </c>
      <c r="AG2" s="3">
        <v>0.67</v>
      </c>
      <c r="AH2" s="3">
        <v>0.64</v>
      </c>
      <c r="AI2" s="3">
        <v>0.63</v>
      </c>
      <c r="AJ2" s="3">
        <v>0.68</v>
      </c>
      <c r="AK2" s="3">
        <v>0.65</v>
      </c>
      <c r="AL2" s="3">
        <v>0.69</v>
      </c>
      <c r="AM2" s="3">
        <v>0.68</v>
      </c>
      <c r="AN2" s="3">
        <v>0.61</v>
      </c>
      <c r="AO2" s="3">
        <v>0.65</v>
      </c>
      <c r="AP2" s="3">
        <v>0.66</v>
      </c>
      <c r="AQ2" s="3">
        <v>0.76</v>
      </c>
      <c r="AR2" s="3">
        <v>0.65</v>
      </c>
      <c r="AS2" s="3">
        <v>0.65</v>
      </c>
      <c r="AT2" s="3">
        <v>0.67</v>
      </c>
      <c r="AU2" s="3">
        <v>0.69</v>
      </c>
      <c r="AV2" s="3">
        <v>0.64</v>
      </c>
      <c r="AW2" s="3">
        <v>0.69</v>
      </c>
      <c r="AX2" s="3">
        <v>0.63</v>
      </c>
      <c r="AY2" s="3">
        <v>0.65</v>
      </c>
      <c r="AZ2" s="3">
        <v>0.71</v>
      </c>
    </row>
    <row r="3" spans="1:52" ht="25.5" customHeight="1" x14ac:dyDescent="0.35">
      <c r="A3" s="1" t="s">
        <v>58</v>
      </c>
      <c r="B3" s="3">
        <v>0.25</v>
      </c>
      <c r="C3" s="3">
        <v>0.16</v>
      </c>
      <c r="D3" s="3">
        <v>0.2</v>
      </c>
      <c r="E3" s="3">
        <v>0.21</v>
      </c>
      <c r="F3" s="3">
        <v>0.2</v>
      </c>
      <c r="G3" s="3">
        <v>0.19</v>
      </c>
      <c r="H3" s="3">
        <v>0.22</v>
      </c>
      <c r="I3" s="3">
        <v>0.25</v>
      </c>
      <c r="J3" s="3">
        <v>0.17</v>
      </c>
      <c r="K3" s="3">
        <v>0.24</v>
      </c>
      <c r="L3" s="3">
        <v>0.23</v>
      </c>
      <c r="M3" s="3">
        <v>0.15</v>
      </c>
      <c r="N3" s="3">
        <v>0.19</v>
      </c>
      <c r="O3" s="3">
        <v>0.23</v>
      </c>
      <c r="P3" s="3">
        <v>0.24</v>
      </c>
      <c r="Q3" s="3">
        <v>0.19</v>
      </c>
      <c r="R3" s="3">
        <v>0.2</v>
      </c>
      <c r="S3" s="3">
        <v>0.23</v>
      </c>
      <c r="T3" s="3">
        <v>0.2</v>
      </c>
      <c r="U3" s="3">
        <v>0.17</v>
      </c>
      <c r="V3" s="3">
        <v>0.23</v>
      </c>
      <c r="W3" s="3">
        <v>0.21</v>
      </c>
      <c r="X3" s="3">
        <v>0.19</v>
      </c>
      <c r="Y3" s="3">
        <v>0.17</v>
      </c>
      <c r="Z3" s="3">
        <v>0.19</v>
      </c>
      <c r="AA3" s="3">
        <v>0.19</v>
      </c>
      <c r="AB3" s="3">
        <v>0.14000000000000001</v>
      </c>
      <c r="AC3" s="3">
        <v>0.19</v>
      </c>
      <c r="AD3" s="3">
        <v>0.2</v>
      </c>
      <c r="AE3" s="3">
        <v>0.18</v>
      </c>
      <c r="AF3" s="3">
        <v>0.23</v>
      </c>
      <c r="AG3" s="3">
        <v>0.19</v>
      </c>
      <c r="AH3" s="3">
        <v>0.2</v>
      </c>
      <c r="AI3" s="3">
        <v>0.24</v>
      </c>
      <c r="AJ3" s="3">
        <v>0.19</v>
      </c>
      <c r="AK3" s="3">
        <v>0.22</v>
      </c>
      <c r="AL3" s="3">
        <v>0.19</v>
      </c>
      <c r="AM3" s="3">
        <v>0.18</v>
      </c>
      <c r="AN3" s="3">
        <v>0.23</v>
      </c>
      <c r="AO3" s="3">
        <v>0.22</v>
      </c>
      <c r="AP3" s="3">
        <v>0.22</v>
      </c>
      <c r="AQ3" s="3">
        <v>0.14000000000000001</v>
      </c>
      <c r="AR3" s="3">
        <v>0.22</v>
      </c>
      <c r="AS3" s="3">
        <v>0.21</v>
      </c>
      <c r="AT3" s="3">
        <v>0.2</v>
      </c>
      <c r="AU3" s="3">
        <v>0.17</v>
      </c>
      <c r="AV3" s="3">
        <v>0.22</v>
      </c>
      <c r="AW3" s="3">
        <v>0.17</v>
      </c>
      <c r="AX3" s="3">
        <v>0.24</v>
      </c>
      <c r="AY3" s="3">
        <v>0.21</v>
      </c>
      <c r="AZ3" s="3">
        <v>0.16</v>
      </c>
    </row>
    <row r="4" spans="1:52" ht="25.5" customHeight="1" x14ac:dyDescent="0.35">
      <c r="A4" s="1" t="s">
        <v>57</v>
      </c>
      <c r="B4" s="3">
        <v>0.13</v>
      </c>
      <c r="C4" s="3">
        <v>0.14000000000000001</v>
      </c>
      <c r="D4" s="3">
        <v>0.15</v>
      </c>
      <c r="E4" s="3">
        <v>0.12</v>
      </c>
      <c r="F4" s="3">
        <v>0.15</v>
      </c>
      <c r="G4" s="3">
        <v>0.14000000000000001</v>
      </c>
      <c r="H4" s="3">
        <v>0.15</v>
      </c>
      <c r="I4" s="3">
        <v>0.13</v>
      </c>
      <c r="J4" s="3">
        <v>0.16</v>
      </c>
      <c r="K4" s="3">
        <v>0.15</v>
      </c>
      <c r="L4" s="3">
        <v>0.14000000000000001</v>
      </c>
      <c r="M4" s="3">
        <v>0.14000000000000001</v>
      </c>
      <c r="N4" s="3">
        <v>0.13</v>
      </c>
      <c r="O4" s="3">
        <v>0.15</v>
      </c>
      <c r="P4" s="3">
        <v>0.12</v>
      </c>
      <c r="Q4" s="3">
        <v>0.13</v>
      </c>
      <c r="R4" s="3">
        <v>0.14000000000000001</v>
      </c>
      <c r="S4" s="3">
        <v>0.13</v>
      </c>
      <c r="T4" s="3">
        <v>0.13</v>
      </c>
      <c r="U4" s="3">
        <v>0.13</v>
      </c>
      <c r="V4" s="3">
        <v>0.14000000000000001</v>
      </c>
      <c r="W4" s="3">
        <v>0.17</v>
      </c>
      <c r="X4" s="3">
        <v>0.13</v>
      </c>
      <c r="Y4" s="3">
        <v>0.14000000000000001</v>
      </c>
      <c r="Z4" s="3">
        <v>0.12</v>
      </c>
      <c r="AA4" s="3">
        <v>0.14000000000000001</v>
      </c>
      <c r="AB4" s="3">
        <v>0.11</v>
      </c>
      <c r="AC4" s="3">
        <v>0.13</v>
      </c>
      <c r="AD4" s="3">
        <v>0.13</v>
      </c>
      <c r="AE4" s="3">
        <v>0.14000000000000001</v>
      </c>
      <c r="AF4" s="3">
        <v>0.16</v>
      </c>
      <c r="AG4" s="3">
        <v>0.14000000000000001</v>
      </c>
      <c r="AH4" s="3">
        <v>0.16</v>
      </c>
      <c r="AI4" s="3">
        <v>0.13</v>
      </c>
      <c r="AJ4" s="3">
        <v>0.13</v>
      </c>
      <c r="AK4" s="3">
        <v>0.13</v>
      </c>
      <c r="AL4" s="3">
        <v>0.12</v>
      </c>
      <c r="AM4" s="3">
        <v>0.14000000000000001</v>
      </c>
      <c r="AN4" s="3">
        <v>0.16</v>
      </c>
      <c r="AO4" s="3">
        <v>0.13</v>
      </c>
      <c r="AP4" s="3">
        <v>0.12</v>
      </c>
      <c r="AQ4" s="3">
        <v>0.1</v>
      </c>
      <c r="AR4" s="3">
        <v>0.13</v>
      </c>
      <c r="AS4" s="3">
        <v>0.14000000000000001</v>
      </c>
      <c r="AT4" s="3">
        <v>0.13</v>
      </c>
      <c r="AU4" s="3">
        <v>0.14000000000000001</v>
      </c>
      <c r="AV4" s="3">
        <v>0.14000000000000001</v>
      </c>
      <c r="AW4" s="3">
        <v>0.14000000000000001</v>
      </c>
      <c r="AX4" s="3">
        <v>0.13</v>
      </c>
      <c r="AY4" s="3">
        <v>0.14000000000000001</v>
      </c>
      <c r="AZ4" s="3">
        <v>0.13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5B183-2AC4-4BDF-BA69-FAF8835E2A28}">
  <dimension ref="A1:D26"/>
  <sheetViews>
    <sheetView tabSelected="1" topLeftCell="A12" workbookViewId="0">
      <selection activeCell="I24" sqref="I24"/>
    </sheetView>
  </sheetViews>
  <sheetFormatPr defaultColWidth="11.26953125" defaultRowHeight="14.5" x14ac:dyDescent="0.35"/>
  <cols>
    <col min="1" max="1" width="12.36328125" bestFit="1" customWidth="1"/>
    <col min="2" max="2" width="16.6328125" bestFit="1" customWidth="1"/>
    <col min="3" max="3" width="15.7265625" bestFit="1" customWidth="1"/>
  </cols>
  <sheetData>
    <row r="1" spans="1:4" x14ac:dyDescent="0.35">
      <c r="A1" t="s">
        <v>59</v>
      </c>
      <c r="B1" t="s">
        <v>60</v>
      </c>
      <c r="C1" t="s">
        <v>56</v>
      </c>
      <c r="D1" t="s">
        <v>58</v>
      </c>
    </row>
    <row r="2" spans="1:4" x14ac:dyDescent="0.35">
      <c r="A2" t="s">
        <v>50</v>
      </c>
      <c r="B2" t="s">
        <v>61</v>
      </c>
      <c r="C2" s="4">
        <f>VLOOKUP('sales region lookup'!A2,'by search term'!B:C,2,FALSE)</f>
        <v>0.69</v>
      </c>
      <c r="D2" s="4">
        <f>_xlfn.XLOOKUP(A2,'by search term'!B1:B52,'by search term'!D1:D52,"not found")</f>
        <v>0.17</v>
      </c>
    </row>
    <row r="3" spans="1:4" x14ac:dyDescent="0.35">
      <c r="A3" t="s">
        <v>40</v>
      </c>
      <c r="B3" t="s">
        <v>61</v>
      </c>
      <c r="C3" s="4">
        <f>VLOOKUP('sales region lookup'!A3,'by search term'!B:C,2,FALSE)</f>
        <v>0.68</v>
      </c>
      <c r="D3" s="4">
        <f>_xlfn.XLOOKUP(A3,'by search term'!B2:B53,'by search term'!D2:D53,"not found")</f>
        <v>0.18</v>
      </c>
    </row>
    <row r="4" spans="1:4" x14ac:dyDescent="0.35">
      <c r="A4" t="s">
        <v>15</v>
      </c>
      <c r="B4" t="s">
        <v>61</v>
      </c>
      <c r="C4" s="4">
        <f>VLOOKUP('sales region lookup'!A4,'by search term'!B:C,2,FALSE)</f>
        <v>0.68</v>
      </c>
      <c r="D4" s="4">
        <f>_xlfn.XLOOKUP(A4,'by search term'!B3:B54,'by search term'!D3:D54,"not found")</f>
        <v>0.19</v>
      </c>
    </row>
    <row r="5" spans="1:4" x14ac:dyDescent="0.35">
      <c r="A5" t="s">
        <v>29</v>
      </c>
      <c r="B5" t="s">
        <v>61</v>
      </c>
      <c r="C5" s="4">
        <f>VLOOKUP('sales region lookup'!A5,'by search term'!B:C,2,FALSE)</f>
        <v>0.75</v>
      </c>
      <c r="D5" s="4">
        <f>_xlfn.XLOOKUP(A5,'by search term'!B4:B55,'by search term'!D4:D55,"not found")</f>
        <v>0.14000000000000001</v>
      </c>
    </row>
    <row r="6" spans="1:4" x14ac:dyDescent="0.35">
      <c r="A6" t="s">
        <v>37</v>
      </c>
      <c r="B6" t="s">
        <v>62</v>
      </c>
      <c r="C6" s="4">
        <f>VLOOKUP('sales region lookup'!A6,'by search term'!B:C,2,FALSE)</f>
        <v>0.68</v>
      </c>
      <c r="D6" s="4">
        <f>_xlfn.XLOOKUP(A6,'by search term'!B5:B56,'by search term'!D5:D56,"not found")</f>
        <v>0.19</v>
      </c>
    </row>
    <row r="7" spans="1:4" x14ac:dyDescent="0.35">
      <c r="A7" t="s">
        <v>44</v>
      </c>
      <c r="B7" t="s">
        <v>62</v>
      </c>
      <c r="C7" s="4">
        <f>VLOOKUP('sales region lookup'!A7,'by search term'!B:C,2,FALSE)</f>
        <v>0.76</v>
      </c>
      <c r="D7" s="4">
        <f>_xlfn.XLOOKUP(A7,'by search term'!B6:B57,'by search term'!D6:D57,"not found")</f>
        <v>0.14000000000000001</v>
      </c>
    </row>
    <row r="8" spans="1:4" x14ac:dyDescent="0.35">
      <c r="A8" t="s">
        <v>30</v>
      </c>
      <c r="B8" t="s">
        <v>62</v>
      </c>
      <c r="C8" s="4">
        <f>VLOOKUP('sales region lookup'!A8,'by search term'!B:C,2,FALSE)</f>
        <v>0.68</v>
      </c>
      <c r="D8" s="4">
        <f>_xlfn.XLOOKUP(A8,'by search term'!B7:B58,'by search term'!D7:D58,"not found")</f>
        <v>0.19</v>
      </c>
    </row>
    <row r="9" spans="1:4" x14ac:dyDescent="0.35">
      <c r="A9" t="s">
        <v>26</v>
      </c>
      <c r="B9" t="s">
        <v>62</v>
      </c>
      <c r="C9" s="4">
        <f>VLOOKUP('sales region lookup'!A9,'by search term'!B:C,2,FALSE)</f>
        <v>0.69</v>
      </c>
      <c r="D9" s="4">
        <f>_xlfn.XLOOKUP(A9,'by search term'!B8:B59,'by search term'!D8:D59,"not found")</f>
        <v>0.17</v>
      </c>
    </row>
    <row r="10" spans="1:4" x14ac:dyDescent="0.35">
      <c r="A10" t="s">
        <v>52</v>
      </c>
      <c r="B10" t="s">
        <v>62</v>
      </c>
      <c r="C10" s="4">
        <f>VLOOKUP('sales region lookup'!A10,'by search term'!B:C,2,FALSE)</f>
        <v>0.65</v>
      </c>
      <c r="D10" s="4">
        <f>_xlfn.XLOOKUP(A10,'by search term'!B9:B60,'by search term'!D9:D60,"not found")</f>
        <v>0.21</v>
      </c>
    </row>
    <row r="11" spans="1:4" x14ac:dyDescent="0.35">
      <c r="A11" t="s">
        <v>25</v>
      </c>
      <c r="B11" t="s">
        <v>62</v>
      </c>
      <c r="C11" s="4">
        <f>VLOOKUP('sales region lookup'!A11,'by search term'!B:C,2,FALSE)</f>
        <v>0.68</v>
      </c>
      <c r="D11" s="4">
        <f>_xlfn.XLOOKUP(A11,'by search term'!B10:B61,'by search term'!D10:D61,"not found")</f>
        <v>0.19</v>
      </c>
    </row>
    <row r="13" spans="1:4" x14ac:dyDescent="0.35">
      <c r="A13" s="5" t="s">
        <v>60</v>
      </c>
      <c r="B13" t="s">
        <v>67</v>
      </c>
    </row>
    <row r="15" spans="1:4" x14ac:dyDescent="0.35">
      <c r="A15" s="5" t="s">
        <v>63</v>
      </c>
      <c r="B15" t="s">
        <v>66</v>
      </c>
      <c r="C15" t="s">
        <v>65</v>
      </c>
    </row>
    <row r="16" spans="1:4" x14ac:dyDescent="0.35">
      <c r="A16" s="6" t="s">
        <v>15</v>
      </c>
      <c r="B16" s="7">
        <v>0.68</v>
      </c>
      <c r="C16" s="7">
        <v>0.19</v>
      </c>
    </row>
    <row r="17" spans="1:3" x14ac:dyDescent="0.35">
      <c r="A17" s="6" t="s">
        <v>25</v>
      </c>
      <c r="B17" s="7">
        <v>0.68</v>
      </c>
      <c r="C17" s="7">
        <v>0.19</v>
      </c>
    </row>
    <row r="18" spans="1:3" x14ac:dyDescent="0.35">
      <c r="A18" s="6" t="s">
        <v>26</v>
      </c>
      <c r="B18" s="7">
        <v>0.69</v>
      </c>
      <c r="C18" s="7">
        <v>0.17</v>
      </c>
    </row>
    <row r="19" spans="1:3" x14ac:dyDescent="0.35">
      <c r="A19" s="6" t="s">
        <v>29</v>
      </c>
      <c r="B19" s="7">
        <v>0.75</v>
      </c>
      <c r="C19" s="7">
        <v>0.14000000000000001</v>
      </c>
    </row>
    <row r="20" spans="1:3" x14ac:dyDescent="0.35">
      <c r="A20" s="6" t="s">
        <v>30</v>
      </c>
      <c r="B20" s="7">
        <v>0.68</v>
      </c>
      <c r="C20" s="7">
        <v>0.19</v>
      </c>
    </row>
    <row r="21" spans="1:3" x14ac:dyDescent="0.35">
      <c r="A21" s="6" t="s">
        <v>37</v>
      </c>
      <c r="B21" s="7">
        <v>0.68</v>
      </c>
      <c r="C21" s="7">
        <v>0.19</v>
      </c>
    </row>
    <row r="22" spans="1:3" x14ac:dyDescent="0.35">
      <c r="A22" s="6" t="s">
        <v>40</v>
      </c>
      <c r="B22" s="7">
        <v>0.68</v>
      </c>
      <c r="C22" s="7">
        <v>0.18</v>
      </c>
    </row>
    <row r="23" spans="1:3" x14ac:dyDescent="0.35">
      <c r="A23" s="6" t="s">
        <v>44</v>
      </c>
      <c r="B23" s="7">
        <v>0.76</v>
      </c>
      <c r="C23" s="7">
        <v>0.14000000000000001</v>
      </c>
    </row>
    <row r="24" spans="1:3" x14ac:dyDescent="0.35">
      <c r="A24" s="6" t="s">
        <v>50</v>
      </c>
      <c r="B24" s="7">
        <v>0.69</v>
      </c>
      <c r="C24" s="7">
        <v>0.17</v>
      </c>
    </row>
    <row r="25" spans="1:3" x14ac:dyDescent="0.35">
      <c r="A25" s="6" t="s">
        <v>52</v>
      </c>
      <c r="B25" s="7">
        <v>0.65</v>
      </c>
      <c r="C25" s="7">
        <v>0.21</v>
      </c>
    </row>
    <row r="26" spans="1:3" x14ac:dyDescent="0.35">
      <c r="A26" s="6" t="s">
        <v>64</v>
      </c>
      <c r="B26" s="7">
        <v>6.9399999999999995</v>
      </c>
      <c r="C26" s="7">
        <v>1.77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by search term</vt:lpstr>
      <vt:lpstr>by state</vt:lpstr>
      <vt:lpstr>sales region 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natalia miranda</dc:creator>
  <cp:lastModifiedBy>natalia miranda</cp:lastModifiedBy>
  <dcterms:created xsi:type="dcterms:W3CDTF">2015-06-05T18:17:20Z</dcterms:created>
  <dcterms:modified xsi:type="dcterms:W3CDTF">2026-04-08T13:51:00Z</dcterms:modified>
</cp:coreProperties>
</file>